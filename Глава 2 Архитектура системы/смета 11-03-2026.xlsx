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B0AED3F-E1E6-4903-9333-F157786A1DA9}" xr6:coauthVersionLast="47" xr6:coauthVersionMax="47" xr10:uidLastSave="{00000000-0000-0000-0000-000000000000}"/>
  <bookViews>
    <workbookView xWindow="-120" yWindow="-120" windowWidth="29040" windowHeight="15840" xr2:uid="{E415F2B7-0DA6-4CD7-936E-543A7300C1A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2" i="1"/>
  <c r="E6" i="1" l="1"/>
</calcChain>
</file>

<file path=xl/sharedStrings.xml><?xml version="1.0" encoding="utf-8"?>
<sst xmlns="http://schemas.openxmlformats.org/spreadsheetml/2006/main" count="20" uniqueCount="19">
  <si>
    <t>Компонент</t>
  </si>
  <si>
    <t>Кол-во</t>
  </si>
  <si>
    <t>Начальная цена, 1шт</t>
  </si>
  <si>
    <t>Доставка</t>
  </si>
  <si>
    <t>Финальная цена</t>
  </si>
  <si>
    <t>Где берем (РФ)</t>
  </si>
  <si>
    <t>Ссылка</t>
  </si>
  <si>
    <t>Камера VisCam NS-503UC</t>
  </si>
  <si>
    <t>МКОИ</t>
  </si>
  <si>
    <t>https://mkoi.ru/catalog/kamery-mashinnogo-zreniya/matrichnye-korpusnye/usb_3_0_1/ns-503uc/#char</t>
  </si>
  <si>
    <t>Объектив CHIOPT FA0802D (2/3", 8мм, F1.4, C-mount, 5MP)</t>
  </si>
  <si>
    <t>https://mkoi.ru/catalog/obektivy/promyshlennye_obshchego_naznacheniya/fiksirovannye/fa0802d/</t>
  </si>
  <si>
    <t>ИТОГО</t>
  </si>
  <si>
    <t>https://kitcam.ru/kamery/usb-web-video-moduli/3-0-web-kamera-interface-mipi-output-cmos-ar0234-s-globalnym-zatvorom-60fps-mashinnogo-zreniya</t>
  </si>
  <si>
    <t>Видеокомплект</t>
  </si>
  <si>
    <t>3.0 WEB камера Interface MIPI output CMOS AR0234</t>
  </si>
  <si>
    <t>FRAME</t>
  </si>
  <si>
    <t>https://kit-frame.ru/5mp_obektiv_1_2_5_svetosilnyj_apertura_f_1_6_f_2_1mm</t>
  </si>
  <si>
    <t>Объектив 5Мп М12 1/2.5 F=1.6  f=2.1mm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</si>
</sst>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2"/>
    <xf numFmtId="0" fontId="0" fillId="0" borderId="6" xfId="0" applyBorder="1"/>
    <xf numFmtId="0" fontId="1" fillId="2" borderId="0" xfId="1"/>
  </cellXfs>
  <cellStyles count="3">
    <cellStyle name="Гиперссылка" xfId="2" builtinId="8"/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itcam.ru/kamery/usb-web-video-moduli/3-0-web-kamera-interface-mipi-output-cmos-ar0234-s-globalnym-zatvorom-60fps-mashinnogo-zreniya" TargetMode="External"/><Relationship Id="rId1" Type="http://schemas.openxmlformats.org/officeDocument/2006/relationships/hyperlink" Target="https://mkoi.ru/catalog/kamery-mashinnogo-zreniya/matrichnye-korpusnye/usb_3_0_1/ns-503u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EFDE-E7F4-4D54-A183-FC02A93A28C0}">
  <dimension ref="A1:G6"/>
  <sheetViews>
    <sheetView tabSelected="1" workbookViewId="0">
      <selection activeCell="D11" sqref="D11"/>
    </sheetView>
  </sheetViews>
  <sheetFormatPr defaultRowHeight="15" x14ac:dyDescent="0.25"/>
  <cols>
    <col min="1" max="1" width="55" bestFit="1" customWidth="1"/>
    <col min="2" max="2" width="7.28515625" bestFit="1" customWidth="1"/>
    <col min="3" max="3" width="20.140625" bestFit="1" customWidth="1"/>
    <col min="4" max="4" width="23" bestFit="1" customWidth="1"/>
    <col min="5" max="5" width="9.28515625" bestFit="1" customWidth="1"/>
    <col min="6" max="6" width="16" bestFit="1" customWidth="1"/>
    <col min="7" max="7" width="15.7109375" bestFit="1" customWidth="1"/>
    <col min="8" max="8" width="110.42578125" bestFit="1" customWidth="1"/>
  </cols>
  <sheetData>
    <row r="1" spans="1:7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x14ac:dyDescent="0.25">
      <c r="A2" s="5" t="s">
        <v>15</v>
      </c>
      <c r="B2">
        <v>2</v>
      </c>
      <c r="C2">
        <v>15900</v>
      </c>
      <c r="E2">
        <f>B2*C2+D2</f>
        <v>31800</v>
      </c>
      <c r="F2" t="s">
        <v>14</v>
      </c>
      <c r="G2" s="6" t="s">
        <v>13</v>
      </c>
    </row>
    <row r="3" spans="1:7" x14ac:dyDescent="0.25">
      <c r="A3" s="5" t="s">
        <v>7</v>
      </c>
      <c r="B3">
        <v>1</v>
      </c>
      <c r="C3">
        <v>52460</v>
      </c>
      <c r="E3">
        <f>B3*C3+D3</f>
        <v>52460</v>
      </c>
      <c r="F3" t="s">
        <v>8</v>
      </c>
      <c r="G3" s="6" t="s">
        <v>9</v>
      </c>
    </row>
    <row r="4" spans="1:7" x14ac:dyDescent="0.25">
      <c r="A4" s="5" t="s">
        <v>18</v>
      </c>
      <c r="B4">
        <v>2</v>
      </c>
      <c r="C4">
        <v>1500</v>
      </c>
      <c r="E4">
        <f>B4*C4+D4</f>
        <v>3000</v>
      </c>
      <c r="F4" t="s">
        <v>16</v>
      </c>
      <c r="G4" t="s">
        <v>17</v>
      </c>
    </row>
    <row r="5" spans="1:7" x14ac:dyDescent="0.25">
      <c r="A5" s="5" t="s">
        <v>10</v>
      </c>
      <c r="B5">
        <v>1</v>
      </c>
      <c r="C5">
        <v>9830</v>
      </c>
      <c r="E5">
        <f>B5*C5+D5</f>
        <v>9830</v>
      </c>
      <c r="F5" t="s">
        <v>8</v>
      </c>
      <c r="G5" t="s">
        <v>11</v>
      </c>
    </row>
    <row r="6" spans="1:7" x14ac:dyDescent="0.25">
      <c r="A6" s="7" t="s">
        <v>12</v>
      </c>
      <c r="E6" s="8">
        <f>SUM(E2:E5)</f>
        <v>97090</v>
      </c>
    </row>
  </sheetData>
  <hyperlinks>
    <hyperlink ref="G3" r:id="rId1" location="char" xr:uid="{F7C0A8C2-FBAC-49F7-8119-5844C18D561B}"/>
    <hyperlink ref="G2" r:id="rId2" xr:uid="{B37B9ED8-7939-456C-A0D8-C78E41FE6D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</dc:creator>
  <cp:lastModifiedBy>Дмитрий</cp:lastModifiedBy>
  <dcterms:created xsi:type="dcterms:W3CDTF">2026-03-11T17:08:06Z</dcterms:created>
  <dcterms:modified xsi:type="dcterms:W3CDTF">2026-03-11T18:44:02Z</dcterms:modified>
</cp:coreProperties>
</file>