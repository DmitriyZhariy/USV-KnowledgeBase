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D:\Dima\python\study\4_course\diploma_project\data\metadata\"/>
    </mc:Choice>
  </mc:AlternateContent>
  <xr:revisionPtr revIDLastSave="0" documentId="13_ncr:1_{7E5803C7-DDA0-4FB0-BE52-FEED369CF5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5" roundtripDataChecksum="QZlfUoQZ4QmGrkbI71wVQ2hXYKFdRLRkoiClxx6J+lk="/>
    </ext>
  </extLst>
</workbook>
</file>

<file path=xl/calcChain.xml><?xml version="1.0" encoding="utf-8"?>
<calcChain xmlns="http://schemas.openxmlformats.org/spreadsheetml/2006/main">
  <c r="M17" i="1" l="1"/>
  <c r="M16" i="1"/>
  <c r="M15" i="1"/>
  <c r="M14" i="1"/>
  <c r="K14" i="1"/>
  <c r="J14" i="1"/>
  <c r="I14" i="1"/>
  <c r="H14" i="1"/>
  <c r="G14" i="1"/>
  <c r="F14" i="1"/>
  <c r="E14" i="1"/>
  <c r="D14" i="1"/>
  <c r="C14" i="1"/>
  <c r="B14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<sst xmlns="http://schemas.openxmlformats.org/spreadsheetml/2006/main" count="39" uniqueCount="39">
  <si>
    <t>Water</t>
  </si>
  <si>
    <t>Sky</t>
  </si>
  <si>
    <t>Land</t>
  </si>
  <si>
    <t>Piers</t>
  </si>
  <si>
    <t>Bridge</t>
  </si>
  <si>
    <t>Vessel</t>
  </si>
  <si>
    <t>Buoy</t>
  </si>
  <si>
    <t>LandingMark</t>
  </si>
  <si>
    <t>BridgeLight</t>
  </si>
  <si>
    <t>Other</t>
  </si>
  <si>
    <t>right_MOVI0017_0001</t>
  </si>
  <si>
    <t>мост корабли пирс средняя дистанция, птица</t>
  </si>
  <si>
    <t>Итого</t>
  </si>
  <si>
    <t>Среднее</t>
  </si>
  <si>
    <t>Медиана</t>
  </si>
  <si>
    <t>Сумма</t>
  </si>
  <si>
    <t>Кадров</t>
  </si>
  <si>
    <t>center_VID_20251027_144923_0130</t>
  </si>
  <si>
    <t>створы близко, пена</t>
  </si>
  <si>
    <t>Clip name</t>
  </si>
  <si>
    <t>Difficulty</t>
  </si>
  <si>
    <t>Duration</t>
  </si>
  <si>
    <t>Commentary</t>
  </si>
  <si>
    <t>center_VID_20251027_144923_0079</t>
  </si>
  <si>
    <t>мост близко, светофор, красный буй близко</t>
  </si>
  <si>
    <t>right_MOVI0018_0002</t>
  </si>
  <si>
    <t>под мостом, темная вода, лодки, топляк, пирс близко, трава средняя дистанция, отражение</t>
  </si>
  <si>
    <t>center_VID_20251027_144923_0316</t>
  </si>
  <si>
    <t>топляки птица близко, пирс лодки средняя дистанция, подводный топляк</t>
  </si>
  <si>
    <t>right_MOVI0013_0014</t>
  </si>
  <si>
    <t>корабль средняя дистанция, лихтер, корабли далеко, пена</t>
  </si>
  <si>
    <t>left_MOVI0022_0024</t>
  </si>
  <si>
    <t>корабль, лодка близко, дождь</t>
  </si>
  <si>
    <t>center_VID_20251027_144923_0271</t>
  </si>
  <si>
    <t>пирс близко, поплавки близко</t>
  </si>
  <si>
    <t>center_VID_20251027_144923_0013</t>
  </si>
  <si>
    <t>тряска, зеленый буй вблизи</t>
  </si>
  <si>
    <t>center_VID_20251027_144923_0078</t>
  </si>
  <si>
    <t>мост близко, светофор, корабль близко, красный буй средняя дистанция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</si>
</sst>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0" fontId="1" fillId="4" borderId="0" applyNumberFormat="0" applyBorder="0" applyAlignment="0" applyProtection="0"/>
  </cellStyleXfs>
  <cellXfs count="11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0" fillId="0" borderId="1" xfId="0" applyBorder="1"/>
    <xf numFmtId="0" fontId="1" fillId="4" borderId="2" xfId="2" applyBorder="1"/>
    <xf numFmtId="0" fontId="1" fillId="4" borderId="3" xfId="2" applyBorder="1"/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4" fillId="3" borderId="2" xfId="1" applyBorder="1"/>
    <xf numFmtId="0" fontId="4" fillId="3" borderId="3" xfId="1" applyBorder="1"/>
  </cellXfs>
  <cellStyles count="3">
    <cellStyle name="20% — акцент1" xfId="2" builtinId="30"/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zoomScaleNormal="100" workbookViewId="0">
      <pane ySplit="1" topLeftCell="A2" activePane="bottomLeft" state="frozen"/>
      <selection pane="bottomLeft" activeCell="O25" sqref="O25"/>
    </sheetView>
  </sheetViews>
  <sheetFormatPr defaultColWidth="14.42578125" defaultRowHeight="15" customHeight="1" x14ac:dyDescent="0.25"/>
  <cols>
    <col min="1" max="1" width="32.5703125" bestFit="1" customWidth="1"/>
    <col min="2" max="2" width="6.5703125" customWidth="1"/>
    <col min="3" max="3" width="4" bestFit="1" customWidth="1"/>
    <col min="4" max="4" width="5.140625" customWidth="1"/>
    <col min="5" max="5" width="5.42578125" customWidth="1"/>
    <col min="6" max="6" width="6.7109375" bestFit="1" customWidth="1"/>
    <col min="7" max="7" width="6.85546875" bestFit="1" customWidth="1"/>
    <col min="8" max="8" width="5.42578125" bestFit="1" customWidth="1"/>
    <col min="9" max="9" width="12.42578125" customWidth="1"/>
    <col min="10" max="10" width="11" bestFit="1" customWidth="1"/>
    <col min="11" max="11" width="6.140625" bestFit="1" customWidth="1"/>
    <col min="12" max="12" width="11" customWidth="1"/>
    <col min="13" max="13" width="14" customWidth="1"/>
    <col min="14" max="14" width="20" bestFit="1" customWidth="1"/>
    <col min="15" max="26" width="8.7109375" customWidth="1"/>
  </cols>
  <sheetData>
    <row r="1" spans="1:14" ht="15.75" thickBot="1" x14ac:dyDescent="0.3">
      <c r="A1" s="6" t="s">
        <v>19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20</v>
      </c>
      <c r="M1" s="7" t="s">
        <v>21</v>
      </c>
      <c r="N1" s="8" t="s">
        <v>22</v>
      </c>
    </row>
    <row r="2" spans="1:14" x14ac:dyDescent="0.25">
      <c r="A2" s="4" t="s">
        <v>17</v>
      </c>
      <c r="B2" s="4">
        <v>1</v>
      </c>
      <c r="C2" s="4">
        <v>1</v>
      </c>
      <c r="D2" s="4">
        <v>1</v>
      </c>
      <c r="E2" s="4">
        <v>0</v>
      </c>
      <c r="F2" s="4">
        <v>0</v>
      </c>
      <c r="G2" s="4">
        <v>0</v>
      </c>
      <c r="H2" s="4">
        <v>0</v>
      </c>
      <c r="I2" s="4">
        <v>1</v>
      </c>
      <c r="J2" s="4">
        <v>0</v>
      </c>
      <c r="K2" s="4">
        <v>0</v>
      </c>
      <c r="L2" s="5">
        <f>SUM(B2:K2)</f>
        <v>4</v>
      </c>
      <c r="M2" s="4">
        <v>5.2</v>
      </c>
      <c r="N2" s="4" t="s">
        <v>18</v>
      </c>
    </row>
    <row r="3" spans="1:14" x14ac:dyDescent="0.25">
      <c r="A3" s="4" t="s">
        <v>23</v>
      </c>
      <c r="B3" s="4">
        <v>1</v>
      </c>
      <c r="C3" s="4">
        <v>1</v>
      </c>
      <c r="D3" s="4">
        <v>1</v>
      </c>
      <c r="E3" s="4">
        <v>0</v>
      </c>
      <c r="F3" s="4">
        <v>1</v>
      </c>
      <c r="G3" s="4">
        <v>0</v>
      </c>
      <c r="H3" s="4">
        <v>1</v>
      </c>
      <c r="I3" s="4">
        <v>0</v>
      </c>
      <c r="J3" s="4">
        <v>1</v>
      </c>
      <c r="K3" s="4">
        <v>0</v>
      </c>
      <c r="L3" s="5">
        <f t="shared" ref="L3:L11" si="0">SUM(B3:K3)</f>
        <v>6</v>
      </c>
      <c r="M3" s="4">
        <v>5.2</v>
      </c>
      <c r="N3" s="4" t="s">
        <v>24</v>
      </c>
    </row>
    <row r="4" spans="1:14" x14ac:dyDescent="0.25">
      <c r="A4" s="4" t="s">
        <v>25</v>
      </c>
      <c r="B4" s="4">
        <v>1</v>
      </c>
      <c r="C4" s="4">
        <v>1</v>
      </c>
      <c r="D4" s="4">
        <v>1</v>
      </c>
      <c r="E4" s="4">
        <v>1</v>
      </c>
      <c r="F4" s="4">
        <v>0</v>
      </c>
      <c r="G4" s="4">
        <v>1</v>
      </c>
      <c r="H4" s="4">
        <v>0</v>
      </c>
      <c r="I4" s="4">
        <v>0</v>
      </c>
      <c r="J4" s="4">
        <v>0</v>
      </c>
      <c r="K4" s="4">
        <v>1</v>
      </c>
      <c r="L4" s="5">
        <f t="shared" si="0"/>
        <v>6</v>
      </c>
      <c r="M4" s="4">
        <v>5.2</v>
      </c>
      <c r="N4" s="4" t="s">
        <v>26</v>
      </c>
    </row>
    <row r="5" spans="1:14" x14ac:dyDescent="0.25">
      <c r="A5" s="4" t="s">
        <v>27</v>
      </c>
      <c r="B5" s="4">
        <v>1</v>
      </c>
      <c r="C5" s="4">
        <v>0</v>
      </c>
      <c r="D5" s="4">
        <v>1</v>
      </c>
      <c r="E5" s="4">
        <v>1</v>
      </c>
      <c r="F5" s="4">
        <v>0</v>
      </c>
      <c r="G5" s="4">
        <v>1</v>
      </c>
      <c r="H5" s="4">
        <v>0</v>
      </c>
      <c r="I5" s="4">
        <v>0</v>
      </c>
      <c r="J5" s="4">
        <v>0</v>
      </c>
      <c r="K5" s="4">
        <v>1</v>
      </c>
      <c r="L5" s="4">
        <f t="shared" si="0"/>
        <v>5</v>
      </c>
      <c r="M5" s="4">
        <v>5.2</v>
      </c>
      <c r="N5" s="4" t="s">
        <v>28</v>
      </c>
    </row>
    <row r="6" spans="1:14" x14ac:dyDescent="0.25">
      <c r="A6" s="4" t="s">
        <v>10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0</v>
      </c>
      <c r="I6" s="4">
        <v>0</v>
      </c>
      <c r="J6" s="4">
        <v>0</v>
      </c>
      <c r="K6" s="4">
        <v>1</v>
      </c>
      <c r="L6" s="5">
        <f t="shared" si="0"/>
        <v>7</v>
      </c>
      <c r="M6" s="4">
        <v>5.2</v>
      </c>
      <c r="N6" s="4" t="s">
        <v>11</v>
      </c>
    </row>
    <row r="7" spans="1:14" x14ac:dyDescent="0.25">
      <c r="A7" s="4" t="s">
        <v>29</v>
      </c>
      <c r="B7" s="4">
        <v>1</v>
      </c>
      <c r="C7" s="4">
        <v>1</v>
      </c>
      <c r="D7" s="4">
        <v>1</v>
      </c>
      <c r="E7" s="4">
        <v>0</v>
      </c>
      <c r="F7" s="4">
        <v>0</v>
      </c>
      <c r="G7" s="4">
        <v>1</v>
      </c>
      <c r="H7" s="4">
        <v>0</v>
      </c>
      <c r="I7" s="4">
        <v>0</v>
      </c>
      <c r="J7" s="4">
        <v>0</v>
      </c>
      <c r="K7" s="4">
        <v>0</v>
      </c>
      <c r="L7" s="5">
        <f t="shared" si="0"/>
        <v>4</v>
      </c>
      <c r="M7" s="4">
        <v>5.2</v>
      </c>
      <c r="N7" s="4" t="s">
        <v>30</v>
      </c>
    </row>
    <row r="8" spans="1:14" x14ac:dyDescent="0.25">
      <c r="A8" s="4" t="s">
        <v>31</v>
      </c>
      <c r="B8" s="4">
        <v>1</v>
      </c>
      <c r="C8" s="4">
        <v>1</v>
      </c>
      <c r="D8" s="4">
        <v>1</v>
      </c>
      <c r="E8" s="4">
        <v>0</v>
      </c>
      <c r="F8" s="4">
        <v>0</v>
      </c>
      <c r="G8" s="4">
        <v>1</v>
      </c>
      <c r="H8" s="4">
        <v>0</v>
      </c>
      <c r="I8" s="4">
        <v>0</v>
      </c>
      <c r="J8" s="4">
        <v>0</v>
      </c>
      <c r="K8" s="4">
        <v>0</v>
      </c>
      <c r="L8" s="5">
        <f t="shared" si="0"/>
        <v>4</v>
      </c>
      <c r="M8" s="4">
        <v>5.2</v>
      </c>
      <c r="N8" s="4" t="s">
        <v>32</v>
      </c>
    </row>
    <row r="9" spans="1:14" x14ac:dyDescent="0.25">
      <c r="A9" s="4" t="s">
        <v>33</v>
      </c>
      <c r="B9" s="4">
        <v>1</v>
      </c>
      <c r="C9" s="4">
        <v>0</v>
      </c>
      <c r="D9" s="4">
        <v>1</v>
      </c>
      <c r="E9" s="4">
        <v>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</v>
      </c>
      <c r="L9" s="5">
        <f t="shared" si="0"/>
        <v>4</v>
      </c>
      <c r="M9" s="4">
        <v>5.2</v>
      </c>
      <c r="N9" s="4" t="s">
        <v>34</v>
      </c>
    </row>
    <row r="10" spans="1:14" x14ac:dyDescent="0.25">
      <c r="A10" s="4" t="s">
        <v>35</v>
      </c>
      <c r="B10" s="4">
        <v>1</v>
      </c>
      <c r="C10" s="4">
        <v>1</v>
      </c>
      <c r="D10" s="4">
        <v>1</v>
      </c>
      <c r="E10" s="4">
        <v>0</v>
      </c>
      <c r="F10" s="4">
        <v>0</v>
      </c>
      <c r="G10" s="4">
        <v>0</v>
      </c>
      <c r="H10" s="4">
        <v>1</v>
      </c>
      <c r="I10" s="4">
        <v>0</v>
      </c>
      <c r="J10" s="4">
        <v>0</v>
      </c>
      <c r="K10" s="4">
        <v>0</v>
      </c>
      <c r="L10" s="5">
        <f t="shared" si="0"/>
        <v>4</v>
      </c>
      <c r="M10" s="4">
        <v>5.2</v>
      </c>
      <c r="N10" s="4" t="s">
        <v>36</v>
      </c>
    </row>
    <row r="11" spans="1:14" x14ac:dyDescent="0.25">
      <c r="A11" s="9" t="s">
        <v>37</v>
      </c>
      <c r="B11" s="9">
        <v>1</v>
      </c>
      <c r="C11" s="9">
        <v>1</v>
      </c>
      <c r="D11" s="9">
        <v>1</v>
      </c>
      <c r="E11" s="9">
        <v>0</v>
      </c>
      <c r="F11" s="9">
        <v>1</v>
      </c>
      <c r="G11" s="9">
        <v>1</v>
      </c>
      <c r="H11" s="9">
        <v>1</v>
      </c>
      <c r="I11" s="9">
        <v>0</v>
      </c>
      <c r="J11" s="9">
        <v>1</v>
      </c>
      <c r="K11" s="9">
        <v>0</v>
      </c>
      <c r="L11" s="10">
        <f t="shared" si="0"/>
        <v>7</v>
      </c>
      <c r="M11" s="9">
        <v>5.2</v>
      </c>
      <c r="N11" s="9" t="s">
        <v>38</v>
      </c>
    </row>
    <row r="12" spans="1:1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A14" s="1" t="s">
        <v>12</v>
      </c>
      <c r="B14" s="2">
        <f>AVERAGE(B2:B11)</f>
        <v>1</v>
      </c>
      <c r="C14" s="2">
        <f>AVERAGE(C2:C11)</f>
        <v>0.8</v>
      </c>
      <c r="D14" s="2">
        <f>AVERAGE(D2:D11)</f>
        <v>1</v>
      </c>
      <c r="E14" s="2">
        <f>AVERAGE(E2:E11)</f>
        <v>0.4</v>
      </c>
      <c r="F14" s="2">
        <f>AVERAGE(F2:F11)</f>
        <v>0.3</v>
      </c>
      <c r="G14" s="2">
        <f>AVERAGE(G2:G11)</f>
        <v>0.6</v>
      </c>
      <c r="H14" s="2">
        <f>AVERAGE(H2:H11)</f>
        <v>0.3</v>
      </c>
      <c r="I14" s="2">
        <f>AVERAGE(I2:I11)</f>
        <v>0.1</v>
      </c>
      <c r="J14" s="2">
        <f>AVERAGE(J2:J11)</f>
        <v>0.2</v>
      </c>
      <c r="K14" s="2">
        <f>AVERAGE(K2:K11)</f>
        <v>0.4</v>
      </c>
      <c r="L14" s="2" t="s">
        <v>13</v>
      </c>
      <c r="M14" s="2">
        <f>AVERAGE(M2:M11)</f>
        <v>5.2000000000000011</v>
      </c>
      <c r="N14" s="3"/>
    </row>
    <row r="15" spans="1:14" x14ac:dyDescent="0.25">
      <c r="L15" s="2" t="s">
        <v>14</v>
      </c>
      <c r="M15" s="2">
        <f>_xlfn.MODE.SNGL(M2:M11)</f>
        <v>5.2</v>
      </c>
      <c r="N15" s="3"/>
    </row>
    <row r="16" spans="1:14" x14ac:dyDescent="0.25">
      <c r="L16" s="2" t="s">
        <v>15</v>
      </c>
      <c r="M16" s="2">
        <f>SUM(M2:M11)</f>
        <v>52.000000000000007</v>
      </c>
      <c r="N16" s="3"/>
    </row>
    <row r="17" spans="1:14" x14ac:dyDescent="0.25">
      <c r="L17" s="2" t="s">
        <v>16</v>
      </c>
      <c r="M17" s="2">
        <f>M16*5</f>
        <v>260.00000000000006</v>
      </c>
      <c r="N17" s="3"/>
    </row>
    <row r="18" spans="1:14" x14ac:dyDescent="0.25">
      <c r="N18" s="3"/>
    </row>
    <row r="19" spans="1:1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ht="15.75" customHeight="1" x14ac:dyDescent="0.25"/>
    <row r="39" spans="1:14" ht="15.75" customHeight="1" x14ac:dyDescent="0.25"/>
    <row r="40" spans="1:14" ht="15.75" customHeight="1" x14ac:dyDescent="0.25"/>
    <row r="41" spans="1:14" ht="15.75" customHeight="1" x14ac:dyDescent="0.25"/>
    <row r="42" spans="1:14" ht="15.75" customHeight="1" x14ac:dyDescent="0.25"/>
    <row r="43" spans="1:14" ht="15.75" customHeight="1" x14ac:dyDescent="0.25"/>
    <row r="44" spans="1:14" ht="15.75" customHeight="1" x14ac:dyDescent="0.25"/>
    <row r="45" spans="1:14" ht="15.75" customHeight="1" x14ac:dyDescent="0.25"/>
    <row r="46" spans="1:14" ht="15.75" customHeight="1" x14ac:dyDescent="0.25"/>
    <row r="47" spans="1:14" ht="15.75" customHeight="1" x14ac:dyDescent="0.25"/>
    <row r="48" spans="1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</dc:creator>
  <cp:lastModifiedBy>Дмитрий</cp:lastModifiedBy>
  <dcterms:created xsi:type="dcterms:W3CDTF">2026-03-10T11:02:30Z</dcterms:created>
  <dcterms:modified xsi:type="dcterms:W3CDTF">2026-04-26T11:43:02Z</dcterms:modified>
</cp:coreProperties>
</file>