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QZlfUoQZ4QmGrkbI71wVQ2hXYKFdRLRkoiClxx6J+lk="/>
    </ext>
  </extLst>
</workbook>
</file>

<file path=xl/sharedStrings.xml><?xml version="1.0" encoding="utf-8"?>
<sst xmlns="http://schemas.openxmlformats.org/spreadsheetml/2006/main" count="91" uniqueCount="89">
  <si>
    <t>название отрывка</t>
  </si>
  <si>
    <t>Water</t>
  </si>
  <si>
    <t>Sky</t>
  </si>
  <si>
    <t>Land</t>
  </si>
  <si>
    <t>Piers</t>
  </si>
  <si>
    <t>Bridge</t>
  </si>
  <si>
    <t>Vessel</t>
  </si>
  <si>
    <t>Buoy</t>
  </si>
  <si>
    <t>LandingMark</t>
  </si>
  <si>
    <t>BridgeLight</t>
  </si>
  <si>
    <t>Other</t>
  </si>
  <si>
    <t>Сложность</t>
  </si>
  <si>
    <t>Длительность</t>
  </si>
  <si>
    <t>комментарий</t>
  </si>
  <si>
    <t>center_VID_20251027_144923_0022</t>
  </si>
  <si>
    <t>мост средняя дистанция, едем вдоль пром зоны, проплыли что-то непонятное, пена</t>
  </si>
  <si>
    <t>center_VID_20251027_144923_0025_part2</t>
  </si>
  <si>
    <t>мост вблизи, лодка, красный буй средняя дистанция</t>
  </si>
  <si>
    <t>center_VID_20251027_144923_0032_part2</t>
  </si>
  <si>
    <t>тряска, створы далеко</t>
  </si>
  <si>
    <t>center_VID_20251027_144923_0033_part2</t>
  </si>
  <si>
    <t>створы средняя дистанция</t>
  </si>
  <si>
    <t>center_VID_20251027_144923_0034_part2</t>
  </si>
  <si>
    <t>створы близко</t>
  </si>
  <si>
    <t>center_VID_20251027_144923_0044</t>
  </si>
  <si>
    <t>мост вблизи, светофор, красный буй далеко</t>
  </si>
  <si>
    <t>center_VID_20251027_144923_0045_part1</t>
  </si>
  <si>
    <t>тряска, под мостом, красный буй средняя дистанция</t>
  </si>
  <si>
    <t>center_VID_20251027_144923_0046_part1</t>
  </si>
  <si>
    <t>тряска, зеленый буй средняя дистанция, лодка близко</t>
  </si>
  <si>
    <t>center_VID_20251027_144923_0058</t>
  </si>
  <si>
    <t>едем к берегу, красный буй далеко</t>
  </si>
  <si>
    <t>center_VID_20251027_144923_0059_part1</t>
  </si>
  <si>
    <t>красный буй близко</t>
  </si>
  <si>
    <t>center_VID_20251027_144923_0085_part2</t>
  </si>
  <si>
    <t>мост средняя дистанция, пирс, лодка близко, буй/поплавок?</t>
  </si>
  <si>
    <t>center_VID_20251027_144923_0085_part3</t>
  </si>
  <si>
    <t>мост, пирс, лодка близко, буй/поплавок?</t>
  </si>
  <si>
    <t>center_VID_20251027_144923_0086_part1</t>
  </si>
  <si>
    <t>мост вблизи, лодка далеко -&gt; вблизи</t>
  </si>
  <si>
    <t>center_VID_20251027_144923_0087_part1</t>
  </si>
  <si>
    <t>под мостом, лодка и пирс вблизи, топляки, трава, что-то непонятно</t>
  </si>
  <si>
    <t>center_VID_20251027_144923_0087_part2</t>
  </si>
  <si>
    <t>лодка и пирс вблизи, топляки, трава, буй/поплавок</t>
  </si>
  <si>
    <t>center_VID_20251027_144923_0088_part2</t>
  </si>
  <si>
    <t>топляки, трава в близи, пирс, много лодок за пирсом</t>
  </si>
  <si>
    <t>center_VID_20251027_144923_0088_part3</t>
  </si>
  <si>
    <t>пирс лодки, трава, топляки близко, буй/поплавок, ветка, мост средняя дистанция</t>
  </si>
  <si>
    <t>center_VID_20251027_144923_0089_part1</t>
  </si>
  <si>
    <t>топляки, пирс, много лодок, птица средняя дистанция</t>
  </si>
  <si>
    <t>center_VID_20251027_144923_0089_part2</t>
  </si>
  <si>
    <t>топляки, пирс, много лодок, птица средняя дистанция, подтонувший пирс</t>
  </si>
  <si>
    <t>center_VID_20251027_144923_0093_part1</t>
  </si>
  <si>
    <t>мост средняя дистанция, топляк вблизи, много лодок, вроде пирс</t>
  </si>
  <si>
    <t>center_VID_20251027_151559_0006</t>
  </si>
  <si>
    <t>размыто, лодка средняя дистанция, желтые знаки на берегу</t>
  </si>
  <si>
    <t>left_MOVI0020_0002_part1</t>
  </si>
  <si>
    <t>мост близко, корабли близко, оранжевый поплавок, желтые знаки на берегу очень далеко</t>
  </si>
  <si>
    <t>left_MOVI0020_0002_part2</t>
  </si>
  <si>
    <t>корабли близко, оранжевый поплавок, желтые знаки на берегу очень далеко</t>
  </si>
  <si>
    <t>left_MOVI0023_0001_part1</t>
  </si>
  <si>
    <t>корабль и лодка близко, мост средняя дистанция</t>
  </si>
  <si>
    <t>right_MOVI0017_0001</t>
  </si>
  <si>
    <t>мост корабли пирс средняя дистанция, птица</t>
  </si>
  <si>
    <t>right_MOVI0017_0002</t>
  </si>
  <si>
    <t>мост корабли пирс средняя дистанция, ограждающие поплавки</t>
  </si>
  <si>
    <t>right_MOVI0017_0004</t>
  </si>
  <si>
    <t>мост пирс лодка близко, что-то черное из воды</t>
  </si>
  <si>
    <t>right_MOVI0017_0005</t>
  </si>
  <si>
    <t>right_MOVI0017_0006</t>
  </si>
  <si>
    <t>right_MOVI0017_0007</t>
  </si>
  <si>
    <t>лодка, мост оранжевый буй? близко</t>
  </si>
  <si>
    <t>right_MOVI0017_0009</t>
  </si>
  <si>
    <t>мост близко, топляк лодка пирс средняя дистанция, трава далеко</t>
  </si>
  <si>
    <t>right_MOVI0018_0001_part1</t>
  </si>
  <si>
    <t>мост топляк лодка пирс близко, трава средняя дистанция, буй/поплавок</t>
  </si>
  <si>
    <t>right_MOVI0018_0004_part2</t>
  </si>
  <si>
    <t>трава близко, топляк, лодки, пирс средняя дистанция</t>
  </si>
  <si>
    <t>right_MOVI0018_0006_part2</t>
  </si>
  <si>
    <t>пирс лодки топляк птица, подтонувший пирс</t>
  </si>
  <si>
    <t>right_MOVI0020_0003</t>
  </si>
  <si>
    <t>мост близко, красный знак?, лодки средняя дистанция</t>
  </si>
  <si>
    <t>right_MOVI0020_0004_part1</t>
  </si>
  <si>
    <t>под мостом, лодки близко, поплавок, желтые знаки на берегу далеко</t>
  </si>
  <si>
    <t>Итого</t>
  </si>
  <si>
    <t>Среднее</t>
  </si>
  <si>
    <t>Медиана</t>
  </si>
  <si>
    <t>Сумма</t>
  </si>
  <si>
    <t>Кадров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</si>
</sst>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6100"/>
      <name val="Calibri"/>
    </font>
    <font>
      <sz val="11.0"/>
      <color rgb="FF9C5700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</fills>
  <borders count="5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2" numFmtId="0" xfId="0" applyBorder="1" applyFill="1" applyFont="1"/>
    <xf borderId="4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4" fillId="2" fontId="2" numFmtId="0" xfId="0" applyBorder="1" applyFont="1"/>
    <xf borderId="3" fillId="3" fontId="3" numFmtId="0" xfId="0" applyBorder="1" applyFill="1" applyFont="1"/>
    <xf borderId="4" fillId="3" fontId="3" numFmtId="0" xfId="0" applyAlignment="1" applyBorder="1" applyFont="1">
      <alignment horizontal="center"/>
    </xf>
    <xf borderId="3" fillId="3" fontId="3" numFmtId="0" xfId="0" applyAlignment="1" applyBorder="1" applyFont="1">
      <alignment horizontal="center"/>
    </xf>
    <xf borderId="4" fillId="3" fontId="3" numFmtId="0" xfId="0" applyBorder="1" applyFont="1"/>
    <xf borderId="3" fillId="4" fontId="4" numFmtId="0" xfId="0" applyBorder="1" applyFill="1" applyFont="1"/>
    <xf borderId="4" fillId="4" fontId="4" numFmtId="0" xfId="0" applyAlignment="1" applyBorder="1" applyFont="1">
      <alignment horizontal="center"/>
    </xf>
    <xf borderId="3" fillId="4" fontId="4" numFmtId="0" xfId="0" applyAlignment="1" applyBorder="1" applyFont="1">
      <alignment horizontal="center"/>
    </xf>
    <xf borderId="4" fillId="4" fontId="4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43"/>
    <col customWidth="1" min="2" max="2" width="6.57"/>
    <col customWidth="1" min="3" max="3" width="12.0"/>
    <col customWidth="1" min="4" max="4" width="5.14"/>
    <col customWidth="1" min="5" max="5" width="5.43"/>
    <col customWidth="1" min="6" max="8" width="12.0"/>
    <col customWidth="1" min="9" max="9" width="12.43"/>
    <col customWidth="1" min="10" max="10" width="12.0"/>
    <col customWidth="1" min="11" max="11" width="8.71"/>
    <col customWidth="1" min="12" max="12" width="11.0"/>
    <col customWidth="1" min="13" max="13" width="14.0"/>
    <col customWidth="1" min="14" max="14" width="91.29"/>
    <col customWidth="1" min="1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>
      <c r="A2" s="3" t="s">
        <v>14</v>
      </c>
      <c r="B2" s="4">
        <v>1.0</v>
      </c>
      <c r="C2" s="4">
        <v>1.0</v>
      </c>
      <c r="D2" s="4">
        <v>1.0</v>
      </c>
      <c r="E2" s="4">
        <v>0.0</v>
      </c>
      <c r="F2" s="5">
        <v>1.0</v>
      </c>
      <c r="G2" s="4">
        <v>0.0</v>
      </c>
      <c r="H2" s="4">
        <v>0.0</v>
      </c>
      <c r="I2" s="4">
        <v>0.0</v>
      </c>
      <c r="J2" s="4">
        <v>1.0</v>
      </c>
      <c r="K2" s="5">
        <v>1.0</v>
      </c>
      <c r="L2" s="4">
        <f t="shared" ref="L2:L37" si="1">SUM(B2:K2)</f>
        <v>6</v>
      </c>
      <c r="M2" s="4">
        <v>25.2</v>
      </c>
      <c r="N2" s="6" t="s">
        <v>15</v>
      </c>
    </row>
    <row r="3">
      <c r="A3" s="3" t="s">
        <v>16</v>
      </c>
      <c r="B3" s="4">
        <v>1.0</v>
      </c>
      <c r="C3" s="4">
        <v>1.0</v>
      </c>
      <c r="D3" s="4">
        <v>1.0</v>
      </c>
      <c r="E3" s="4">
        <v>0.0</v>
      </c>
      <c r="F3" s="5">
        <v>1.0</v>
      </c>
      <c r="G3" s="4">
        <v>1.0</v>
      </c>
      <c r="H3" s="4">
        <v>1.0</v>
      </c>
      <c r="I3" s="4">
        <v>0.0</v>
      </c>
      <c r="J3" s="4">
        <v>1.0</v>
      </c>
      <c r="K3" s="5">
        <v>0.0</v>
      </c>
      <c r="L3" s="4">
        <f t="shared" si="1"/>
        <v>7</v>
      </c>
      <c r="M3" s="4">
        <v>30.0</v>
      </c>
      <c r="N3" s="6" t="s">
        <v>17</v>
      </c>
    </row>
    <row r="4">
      <c r="A4" s="7" t="s">
        <v>18</v>
      </c>
      <c r="B4" s="8">
        <v>1.0</v>
      </c>
      <c r="C4" s="8">
        <v>1.0</v>
      </c>
      <c r="D4" s="8">
        <v>1.0</v>
      </c>
      <c r="E4" s="8">
        <v>0.0</v>
      </c>
      <c r="F4" s="9">
        <v>0.0</v>
      </c>
      <c r="G4" s="8">
        <v>0.0</v>
      </c>
      <c r="H4" s="8">
        <v>0.0</v>
      </c>
      <c r="I4" s="8">
        <v>1.0</v>
      </c>
      <c r="J4" s="8">
        <v>0.0</v>
      </c>
      <c r="K4" s="9">
        <v>0.0</v>
      </c>
      <c r="L4" s="8">
        <f t="shared" si="1"/>
        <v>4</v>
      </c>
      <c r="M4" s="8">
        <v>30.0</v>
      </c>
      <c r="N4" s="10" t="s">
        <v>19</v>
      </c>
    </row>
    <row r="5">
      <c r="A5" s="3" t="s">
        <v>20</v>
      </c>
      <c r="B5" s="4">
        <v>1.0</v>
      </c>
      <c r="C5" s="4">
        <v>1.0</v>
      </c>
      <c r="D5" s="4">
        <v>1.0</v>
      </c>
      <c r="E5" s="4">
        <v>0.0</v>
      </c>
      <c r="F5" s="5">
        <v>0.0</v>
      </c>
      <c r="G5" s="4">
        <v>0.0</v>
      </c>
      <c r="H5" s="4">
        <v>0.0</v>
      </c>
      <c r="I5" s="4">
        <v>1.0</v>
      </c>
      <c r="J5" s="4">
        <v>0.0</v>
      </c>
      <c r="K5" s="5">
        <v>0.0</v>
      </c>
      <c r="L5" s="4">
        <f t="shared" si="1"/>
        <v>4</v>
      </c>
      <c r="M5" s="4">
        <v>25.4</v>
      </c>
      <c r="N5" s="6" t="s">
        <v>21</v>
      </c>
    </row>
    <row r="6">
      <c r="A6" s="3" t="s">
        <v>22</v>
      </c>
      <c r="B6" s="4">
        <v>1.0</v>
      </c>
      <c r="C6" s="4">
        <v>1.0</v>
      </c>
      <c r="D6" s="4">
        <v>1.0</v>
      </c>
      <c r="E6" s="4">
        <v>0.0</v>
      </c>
      <c r="F6" s="5">
        <v>0.0</v>
      </c>
      <c r="G6" s="4">
        <v>0.0</v>
      </c>
      <c r="H6" s="4">
        <v>0.0</v>
      </c>
      <c r="I6" s="4">
        <v>1.0</v>
      </c>
      <c r="J6" s="4">
        <v>0.0</v>
      </c>
      <c r="K6" s="5">
        <v>0.0</v>
      </c>
      <c r="L6" s="4">
        <f t="shared" si="1"/>
        <v>4</v>
      </c>
      <c r="M6" s="4">
        <v>30.0</v>
      </c>
      <c r="N6" s="6" t="s">
        <v>23</v>
      </c>
    </row>
    <row r="7">
      <c r="A7" s="7" t="s">
        <v>24</v>
      </c>
      <c r="B7" s="8">
        <v>1.0</v>
      </c>
      <c r="C7" s="8">
        <v>1.0</v>
      </c>
      <c r="D7" s="8">
        <v>1.0</v>
      </c>
      <c r="E7" s="8">
        <v>0.0</v>
      </c>
      <c r="F7" s="9">
        <v>1.0</v>
      </c>
      <c r="G7" s="8">
        <v>0.0</v>
      </c>
      <c r="H7" s="8">
        <v>1.0</v>
      </c>
      <c r="I7" s="8">
        <v>0.0</v>
      </c>
      <c r="J7" s="8">
        <v>1.0</v>
      </c>
      <c r="K7" s="9">
        <v>0.0</v>
      </c>
      <c r="L7" s="8">
        <f t="shared" si="1"/>
        <v>6</v>
      </c>
      <c r="M7" s="8">
        <v>20.2</v>
      </c>
      <c r="N7" s="10" t="s">
        <v>25</v>
      </c>
    </row>
    <row r="8">
      <c r="A8" s="7" t="s">
        <v>26</v>
      </c>
      <c r="B8" s="8">
        <v>1.0</v>
      </c>
      <c r="C8" s="8">
        <v>1.0</v>
      </c>
      <c r="D8" s="8">
        <v>1.0</v>
      </c>
      <c r="E8" s="8">
        <v>0.0</v>
      </c>
      <c r="F8" s="9">
        <v>1.0</v>
      </c>
      <c r="G8" s="8">
        <v>0.0</v>
      </c>
      <c r="H8" s="8">
        <v>1.0</v>
      </c>
      <c r="I8" s="8">
        <v>0.0</v>
      </c>
      <c r="J8" s="8">
        <v>0.0</v>
      </c>
      <c r="K8" s="9">
        <v>0.0</v>
      </c>
      <c r="L8" s="8">
        <f t="shared" si="1"/>
        <v>5</v>
      </c>
      <c r="M8" s="8">
        <v>30.0</v>
      </c>
      <c r="N8" s="10" t="s">
        <v>27</v>
      </c>
    </row>
    <row r="9">
      <c r="A9" s="7" t="s">
        <v>28</v>
      </c>
      <c r="B9" s="8">
        <v>1.0</v>
      </c>
      <c r="C9" s="8">
        <v>1.0</v>
      </c>
      <c r="D9" s="8">
        <v>1.0</v>
      </c>
      <c r="E9" s="8">
        <v>0.0</v>
      </c>
      <c r="F9" s="9">
        <v>0.0</v>
      </c>
      <c r="G9" s="8">
        <v>1.0</v>
      </c>
      <c r="H9" s="8">
        <v>1.0</v>
      </c>
      <c r="I9" s="8">
        <v>0.0</v>
      </c>
      <c r="J9" s="8">
        <v>0.0</v>
      </c>
      <c r="K9" s="9">
        <v>0.0</v>
      </c>
      <c r="L9" s="8">
        <f t="shared" si="1"/>
        <v>5</v>
      </c>
      <c r="M9" s="8">
        <v>30.0</v>
      </c>
      <c r="N9" s="10" t="s">
        <v>29</v>
      </c>
    </row>
    <row r="10">
      <c r="A10" s="7" t="s">
        <v>30</v>
      </c>
      <c r="B10" s="8">
        <v>1.0</v>
      </c>
      <c r="C10" s="8">
        <v>1.0</v>
      </c>
      <c r="D10" s="8">
        <v>1.0</v>
      </c>
      <c r="E10" s="8">
        <v>0.0</v>
      </c>
      <c r="F10" s="9">
        <v>0.0</v>
      </c>
      <c r="G10" s="8">
        <v>0.0</v>
      </c>
      <c r="H10" s="8">
        <v>1.0</v>
      </c>
      <c r="I10" s="8">
        <v>0.0</v>
      </c>
      <c r="J10" s="8">
        <v>0.0</v>
      </c>
      <c r="K10" s="9">
        <v>0.0</v>
      </c>
      <c r="L10" s="8">
        <f t="shared" si="1"/>
        <v>4</v>
      </c>
      <c r="M10" s="8">
        <v>15.2</v>
      </c>
      <c r="N10" s="10" t="s">
        <v>31</v>
      </c>
    </row>
    <row r="11">
      <c r="A11" s="7" t="s">
        <v>32</v>
      </c>
      <c r="B11" s="8">
        <v>1.0</v>
      </c>
      <c r="C11" s="8">
        <v>1.0</v>
      </c>
      <c r="D11" s="8">
        <v>1.0</v>
      </c>
      <c r="E11" s="8">
        <v>0.0</v>
      </c>
      <c r="F11" s="9">
        <v>0.0</v>
      </c>
      <c r="G11" s="8">
        <v>0.0</v>
      </c>
      <c r="H11" s="8">
        <v>1.0</v>
      </c>
      <c r="I11" s="8">
        <v>0.0</v>
      </c>
      <c r="J11" s="8">
        <v>0.0</v>
      </c>
      <c r="K11" s="9">
        <v>0.0</v>
      </c>
      <c r="L11" s="8">
        <f t="shared" si="1"/>
        <v>4</v>
      </c>
      <c r="M11" s="8">
        <v>30.0</v>
      </c>
      <c r="N11" s="10" t="s">
        <v>33</v>
      </c>
    </row>
    <row r="12">
      <c r="A12" s="3" t="s">
        <v>34</v>
      </c>
      <c r="B12" s="4">
        <v>1.0</v>
      </c>
      <c r="C12" s="4">
        <v>1.0</v>
      </c>
      <c r="D12" s="4">
        <v>1.0</v>
      </c>
      <c r="E12" s="4">
        <v>1.0</v>
      </c>
      <c r="F12" s="5">
        <v>1.0</v>
      </c>
      <c r="G12" s="4">
        <v>1.0</v>
      </c>
      <c r="H12" s="4">
        <v>0.0</v>
      </c>
      <c r="I12" s="4">
        <v>0.0</v>
      </c>
      <c r="J12" s="4">
        <v>0.0</v>
      </c>
      <c r="K12" s="5">
        <v>0.0</v>
      </c>
      <c r="L12" s="4">
        <f t="shared" si="1"/>
        <v>6</v>
      </c>
      <c r="M12" s="4">
        <v>30.0</v>
      </c>
      <c r="N12" s="6" t="s">
        <v>35</v>
      </c>
    </row>
    <row r="13">
      <c r="A13" s="3" t="s">
        <v>36</v>
      </c>
      <c r="B13" s="4">
        <v>1.0</v>
      </c>
      <c r="C13" s="4">
        <v>1.0</v>
      </c>
      <c r="D13" s="4">
        <v>1.0</v>
      </c>
      <c r="E13" s="4">
        <v>1.0</v>
      </c>
      <c r="F13" s="5">
        <v>1.0</v>
      </c>
      <c r="G13" s="4">
        <v>1.0</v>
      </c>
      <c r="H13" s="4">
        <v>0.0</v>
      </c>
      <c r="I13" s="4">
        <v>0.0</v>
      </c>
      <c r="J13" s="4">
        <v>0.0</v>
      </c>
      <c r="K13" s="5">
        <v>0.0</v>
      </c>
      <c r="L13" s="4">
        <f t="shared" si="1"/>
        <v>6</v>
      </c>
      <c r="M13" s="4">
        <v>30.0</v>
      </c>
      <c r="N13" s="6" t="s">
        <v>37</v>
      </c>
    </row>
    <row r="14">
      <c r="A14" s="7" t="s">
        <v>38</v>
      </c>
      <c r="B14" s="8">
        <v>1.0</v>
      </c>
      <c r="C14" s="8">
        <v>1.0</v>
      </c>
      <c r="D14" s="8">
        <v>1.0</v>
      </c>
      <c r="E14" s="8">
        <v>0.0</v>
      </c>
      <c r="F14" s="9">
        <v>1.0</v>
      </c>
      <c r="G14" s="8">
        <v>1.0</v>
      </c>
      <c r="H14" s="8">
        <v>1.0</v>
      </c>
      <c r="I14" s="8">
        <v>0.0</v>
      </c>
      <c r="J14" s="8">
        <v>0.0</v>
      </c>
      <c r="K14" s="9">
        <v>0.0</v>
      </c>
      <c r="L14" s="8">
        <f t="shared" si="1"/>
        <v>6</v>
      </c>
      <c r="M14" s="8">
        <v>30.0</v>
      </c>
      <c r="N14" s="10" t="s">
        <v>39</v>
      </c>
    </row>
    <row r="15">
      <c r="A15" s="3" t="s">
        <v>40</v>
      </c>
      <c r="B15" s="4">
        <v>1.0</v>
      </c>
      <c r="C15" s="4">
        <v>1.0</v>
      </c>
      <c r="D15" s="4">
        <v>1.0</v>
      </c>
      <c r="E15" s="4">
        <v>1.0</v>
      </c>
      <c r="F15" s="5">
        <v>1.0</v>
      </c>
      <c r="G15" s="4">
        <v>1.0</v>
      </c>
      <c r="H15" s="4">
        <v>0.0</v>
      </c>
      <c r="I15" s="4">
        <v>0.0</v>
      </c>
      <c r="J15" s="4">
        <v>0.0</v>
      </c>
      <c r="K15" s="5">
        <v>1.0</v>
      </c>
      <c r="L15" s="4">
        <f t="shared" si="1"/>
        <v>7</v>
      </c>
      <c r="M15" s="4">
        <v>30.0</v>
      </c>
      <c r="N15" s="6" t="s">
        <v>41</v>
      </c>
    </row>
    <row r="16">
      <c r="A16" s="3" t="s">
        <v>42</v>
      </c>
      <c r="B16" s="4">
        <v>1.0</v>
      </c>
      <c r="C16" s="4">
        <v>1.0</v>
      </c>
      <c r="D16" s="4">
        <v>1.0</v>
      </c>
      <c r="E16" s="4">
        <v>1.0</v>
      </c>
      <c r="F16" s="5">
        <v>0.0</v>
      </c>
      <c r="G16" s="4">
        <v>1.0</v>
      </c>
      <c r="H16" s="4">
        <v>0.0</v>
      </c>
      <c r="I16" s="4">
        <v>0.0</v>
      </c>
      <c r="J16" s="4">
        <v>0.0</v>
      </c>
      <c r="K16" s="5">
        <v>1.0</v>
      </c>
      <c r="L16" s="4">
        <f t="shared" si="1"/>
        <v>6</v>
      </c>
      <c r="M16" s="4">
        <v>30.0</v>
      </c>
      <c r="N16" s="6" t="s">
        <v>43</v>
      </c>
    </row>
    <row r="17">
      <c r="A17" s="3" t="s">
        <v>44</v>
      </c>
      <c r="B17" s="4">
        <v>1.0</v>
      </c>
      <c r="C17" s="4">
        <v>1.0</v>
      </c>
      <c r="D17" s="4">
        <v>1.0</v>
      </c>
      <c r="E17" s="4">
        <v>1.0</v>
      </c>
      <c r="F17" s="5">
        <v>0.0</v>
      </c>
      <c r="G17" s="4">
        <v>1.0</v>
      </c>
      <c r="H17" s="4">
        <v>0.0</v>
      </c>
      <c r="I17" s="4">
        <v>0.0</v>
      </c>
      <c r="J17" s="4">
        <v>0.0</v>
      </c>
      <c r="K17" s="5">
        <v>1.0</v>
      </c>
      <c r="L17" s="4">
        <f t="shared" si="1"/>
        <v>6</v>
      </c>
      <c r="M17" s="4">
        <v>30.0</v>
      </c>
      <c r="N17" s="6" t="s">
        <v>45</v>
      </c>
    </row>
    <row r="18">
      <c r="A18" s="3" t="s">
        <v>46</v>
      </c>
      <c r="B18" s="4">
        <v>1.0</v>
      </c>
      <c r="C18" s="4">
        <v>1.0</v>
      </c>
      <c r="D18" s="4">
        <v>1.0</v>
      </c>
      <c r="E18" s="4">
        <v>1.0</v>
      </c>
      <c r="F18" s="5">
        <v>1.0</v>
      </c>
      <c r="G18" s="4">
        <v>1.0</v>
      </c>
      <c r="H18" s="4">
        <v>0.0</v>
      </c>
      <c r="I18" s="4">
        <v>0.0</v>
      </c>
      <c r="J18" s="4">
        <v>0.0</v>
      </c>
      <c r="K18" s="5">
        <v>1.0</v>
      </c>
      <c r="L18" s="4">
        <f t="shared" si="1"/>
        <v>7</v>
      </c>
      <c r="M18" s="4">
        <v>20.6</v>
      </c>
      <c r="N18" s="6" t="s">
        <v>47</v>
      </c>
    </row>
    <row r="19">
      <c r="A19" s="3" t="s">
        <v>48</v>
      </c>
      <c r="B19" s="4">
        <v>1.0</v>
      </c>
      <c r="C19" s="4">
        <v>1.0</v>
      </c>
      <c r="D19" s="4">
        <v>1.0</v>
      </c>
      <c r="E19" s="4">
        <v>1.0</v>
      </c>
      <c r="F19" s="5">
        <v>0.0</v>
      </c>
      <c r="G19" s="4">
        <v>1.0</v>
      </c>
      <c r="H19" s="4">
        <v>0.0</v>
      </c>
      <c r="I19" s="4">
        <v>0.0</v>
      </c>
      <c r="J19" s="4">
        <v>0.0</v>
      </c>
      <c r="K19" s="5">
        <v>1.0</v>
      </c>
      <c r="L19" s="4">
        <f t="shared" si="1"/>
        <v>6</v>
      </c>
      <c r="M19" s="4">
        <v>30.0</v>
      </c>
      <c r="N19" s="6" t="s">
        <v>49</v>
      </c>
    </row>
    <row r="20">
      <c r="A20" s="3" t="s">
        <v>50</v>
      </c>
      <c r="B20" s="4">
        <v>1.0</v>
      </c>
      <c r="C20" s="4">
        <v>1.0</v>
      </c>
      <c r="D20" s="4">
        <v>1.0</v>
      </c>
      <c r="E20" s="4">
        <v>1.0</v>
      </c>
      <c r="F20" s="5">
        <v>0.0</v>
      </c>
      <c r="G20" s="4">
        <v>1.0</v>
      </c>
      <c r="H20" s="4">
        <v>0.0</v>
      </c>
      <c r="I20" s="4">
        <v>0.0</v>
      </c>
      <c r="J20" s="4">
        <v>0.0</v>
      </c>
      <c r="K20" s="5">
        <v>1.0</v>
      </c>
      <c r="L20" s="4">
        <f t="shared" si="1"/>
        <v>6</v>
      </c>
      <c r="M20" s="4">
        <v>30.0</v>
      </c>
      <c r="N20" s="6" t="s">
        <v>51</v>
      </c>
    </row>
    <row r="21" ht="15.75" customHeight="1">
      <c r="A21" s="3" t="s">
        <v>52</v>
      </c>
      <c r="B21" s="4">
        <v>1.0</v>
      </c>
      <c r="C21" s="4">
        <v>1.0</v>
      </c>
      <c r="D21" s="4">
        <v>1.0</v>
      </c>
      <c r="E21" s="4">
        <v>1.0</v>
      </c>
      <c r="F21" s="5">
        <v>1.0</v>
      </c>
      <c r="G21" s="4">
        <v>1.0</v>
      </c>
      <c r="H21" s="4">
        <v>0.0</v>
      </c>
      <c r="I21" s="4">
        <v>0.0</v>
      </c>
      <c r="J21" s="4">
        <v>0.0</v>
      </c>
      <c r="K21" s="5">
        <v>1.0</v>
      </c>
      <c r="L21" s="4">
        <f t="shared" si="1"/>
        <v>7</v>
      </c>
      <c r="M21" s="4">
        <v>30.0</v>
      </c>
      <c r="N21" s="6" t="s">
        <v>53</v>
      </c>
    </row>
    <row r="22" ht="15.75" customHeight="1">
      <c r="A22" s="7" t="s">
        <v>54</v>
      </c>
      <c r="B22" s="8">
        <v>1.0</v>
      </c>
      <c r="C22" s="8">
        <v>1.0</v>
      </c>
      <c r="D22" s="8">
        <v>1.0</v>
      </c>
      <c r="E22" s="8">
        <v>0.0</v>
      </c>
      <c r="F22" s="9">
        <v>0.0</v>
      </c>
      <c r="G22" s="8">
        <v>1.0</v>
      </c>
      <c r="H22" s="8">
        <v>0.0</v>
      </c>
      <c r="I22" s="8">
        <v>0.0</v>
      </c>
      <c r="J22" s="8">
        <v>0.0</v>
      </c>
      <c r="K22" s="9">
        <v>1.0</v>
      </c>
      <c r="L22" s="8">
        <f t="shared" si="1"/>
        <v>5</v>
      </c>
      <c r="M22" s="8">
        <v>20.2</v>
      </c>
      <c r="N22" s="10" t="s">
        <v>55</v>
      </c>
    </row>
    <row r="23" ht="15.75" customHeight="1">
      <c r="A23" s="3" t="s">
        <v>56</v>
      </c>
      <c r="B23" s="4">
        <v>1.0</v>
      </c>
      <c r="C23" s="4">
        <v>1.0</v>
      </c>
      <c r="D23" s="4">
        <v>1.0</v>
      </c>
      <c r="E23" s="4">
        <v>0.0</v>
      </c>
      <c r="F23" s="5">
        <v>1.0</v>
      </c>
      <c r="G23" s="4">
        <v>1.0</v>
      </c>
      <c r="H23" s="4">
        <v>0.0</v>
      </c>
      <c r="I23" s="4">
        <v>0.0</v>
      </c>
      <c r="J23" s="4">
        <v>0.0</v>
      </c>
      <c r="K23" s="5">
        <v>1.0</v>
      </c>
      <c r="L23" s="4">
        <f t="shared" si="1"/>
        <v>6</v>
      </c>
      <c r="M23" s="4">
        <v>30.0</v>
      </c>
      <c r="N23" s="6" t="s">
        <v>57</v>
      </c>
    </row>
    <row r="24" ht="15.75" customHeight="1">
      <c r="A24" s="3" t="s">
        <v>58</v>
      </c>
      <c r="B24" s="4">
        <v>1.0</v>
      </c>
      <c r="C24" s="4">
        <v>1.0</v>
      </c>
      <c r="D24" s="4">
        <v>1.0</v>
      </c>
      <c r="E24" s="4">
        <v>0.0</v>
      </c>
      <c r="F24" s="5">
        <v>0.0</v>
      </c>
      <c r="G24" s="4">
        <v>1.0</v>
      </c>
      <c r="H24" s="4">
        <v>0.0</v>
      </c>
      <c r="I24" s="4">
        <v>0.0</v>
      </c>
      <c r="J24" s="4">
        <v>0.0</v>
      </c>
      <c r="K24" s="5">
        <v>1.0</v>
      </c>
      <c r="L24" s="4">
        <f t="shared" si="1"/>
        <v>5</v>
      </c>
      <c r="M24" s="4">
        <v>30.0</v>
      </c>
      <c r="N24" s="6" t="s">
        <v>59</v>
      </c>
    </row>
    <row r="25" ht="15.75" customHeight="1">
      <c r="A25" s="7" t="s">
        <v>60</v>
      </c>
      <c r="B25" s="8">
        <v>1.0</v>
      </c>
      <c r="C25" s="8">
        <v>1.0</v>
      </c>
      <c r="D25" s="8">
        <v>1.0</v>
      </c>
      <c r="E25" s="8">
        <v>0.0</v>
      </c>
      <c r="F25" s="9">
        <v>1.0</v>
      </c>
      <c r="G25" s="8">
        <v>1.0</v>
      </c>
      <c r="H25" s="8">
        <v>0.0</v>
      </c>
      <c r="I25" s="8">
        <v>0.0</v>
      </c>
      <c r="J25" s="8">
        <v>0.0</v>
      </c>
      <c r="K25" s="9">
        <v>0.0</v>
      </c>
      <c r="L25" s="8">
        <f t="shared" si="1"/>
        <v>5</v>
      </c>
      <c r="M25" s="8">
        <v>30.0</v>
      </c>
      <c r="N25" s="10" t="s">
        <v>61</v>
      </c>
    </row>
    <row r="26" ht="15.75" customHeight="1">
      <c r="A26" s="11" t="s">
        <v>62</v>
      </c>
      <c r="B26" s="12">
        <v>1.0</v>
      </c>
      <c r="C26" s="12">
        <v>1.0</v>
      </c>
      <c r="D26" s="12">
        <v>1.0</v>
      </c>
      <c r="E26" s="12">
        <v>1.0</v>
      </c>
      <c r="F26" s="13">
        <v>1.0</v>
      </c>
      <c r="G26" s="12">
        <v>1.0</v>
      </c>
      <c r="H26" s="12">
        <v>0.0</v>
      </c>
      <c r="I26" s="12">
        <v>0.0</v>
      </c>
      <c r="J26" s="12">
        <v>0.0</v>
      </c>
      <c r="K26" s="13">
        <v>1.0</v>
      </c>
      <c r="L26" s="12">
        <f t="shared" si="1"/>
        <v>7</v>
      </c>
      <c r="M26" s="12">
        <v>10.2</v>
      </c>
      <c r="N26" s="14" t="s">
        <v>63</v>
      </c>
    </row>
    <row r="27" ht="15.75" customHeight="1">
      <c r="A27" s="3" t="s">
        <v>64</v>
      </c>
      <c r="B27" s="4">
        <v>1.0</v>
      </c>
      <c r="C27" s="4">
        <v>1.0</v>
      </c>
      <c r="D27" s="4">
        <v>1.0</v>
      </c>
      <c r="E27" s="4">
        <v>1.0</v>
      </c>
      <c r="F27" s="5">
        <v>1.0</v>
      </c>
      <c r="G27" s="4">
        <v>1.0</v>
      </c>
      <c r="H27" s="4">
        <v>0.0</v>
      </c>
      <c r="I27" s="4">
        <v>0.0</v>
      </c>
      <c r="J27" s="4">
        <v>0.0</v>
      </c>
      <c r="K27" s="5">
        <v>1.0</v>
      </c>
      <c r="L27" s="4">
        <f t="shared" si="1"/>
        <v>7</v>
      </c>
      <c r="M27" s="4">
        <v>10.2</v>
      </c>
      <c r="N27" s="6" t="s">
        <v>65</v>
      </c>
    </row>
    <row r="28" ht="15.75" customHeight="1">
      <c r="A28" s="3" t="s">
        <v>66</v>
      </c>
      <c r="B28" s="4">
        <v>1.0</v>
      </c>
      <c r="C28" s="4">
        <v>1.0</v>
      </c>
      <c r="D28" s="4">
        <v>1.0</v>
      </c>
      <c r="E28" s="4">
        <v>1.0</v>
      </c>
      <c r="F28" s="5">
        <v>1.0</v>
      </c>
      <c r="G28" s="4">
        <v>1.0</v>
      </c>
      <c r="H28" s="4">
        <v>0.0</v>
      </c>
      <c r="I28" s="4">
        <v>0.0</v>
      </c>
      <c r="J28" s="4">
        <v>0.0</v>
      </c>
      <c r="K28" s="5">
        <v>1.0</v>
      </c>
      <c r="L28" s="4">
        <f t="shared" si="1"/>
        <v>7</v>
      </c>
      <c r="M28" s="4">
        <v>10.2</v>
      </c>
      <c r="N28" s="6" t="s">
        <v>67</v>
      </c>
    </row>
    <row r="29" ht="15.75" customHeight="1">
      <c r="A29" s="3" t="s">
        <v>68</v>
      </c>
      <c r="B29" s="4">
        <v>1.0</v>
      </c>
      <c r="C29" s="4">
        <v>1.0</v>
      </c>
      <c r="D29" s="4">
        <v>1.0</v>
      </c>
      <c r="E29" s="4">
        <v>1.0</v>
      </c>
      <c r="F29" s="5">
        <v>1.0</v>
      </c>
      <c r="G29" s="4">
        <v>1.0</v>
      </c>
      <c r="H29" s="4">
        <v>0.0</v>
      </c>
      <c r="I29" s="4">
        <v>0.0</v>
      </c>
      <c r="J29" s="4">
        <v>0.0</v>
      </c>
      <c r="K29" s="5">
        <v>1.0</v>
      </c>
      <c r="L29" s="4">
        <f t="shared" si="1"/>
        <v>7</v>
      </c>
      <c r="M29" s="4">
        <v>10.2</v>
      </c>
      <c r="N29" s="6" t="s">
        <v>67</v>
      </c>
    </row>
    <row r="30" ht="15.75" customHeight="1">
      <c r="A30" s="3" t="s">
        <v>69</v>
      </c>
      <c r="B30" s="4">
        <v>1.0</v>
      </c>
      <c r="C30" s="4">
        <v>1.0</v>
      </c>
      <c r="D30" s="4">
        <v>1.0</v>
      </c>
      <c r="E30" s="4">
        <v>1.0</v>
      </c>
      <c r="F30" s="5">
        <v>1.0</v>
      </c>
      <c r="G30" s="4">
        <v>1.0</v>
      </c>
      <c r="H30" s="4">
        <v>0.0</v>
      </c>
      <c r="I30" s="4">
        <v>0.0</v>
      </c>
      <c r="J30" s="4">
        <v>0.0</v>
      </c>
      <c r="K30" s="5">
        <v>1.0</v>
      </c>
      <c r="L30" s="4">
        <f t="shared" si="1"/>
        <v>7</v>
      </c>
      <c r="M30" s="4">
        <v>10.2</v>
      </c>
      <c r="N30" s="6" t="s">
        <v>67</v>
      </c>
    </row>
    <row r="31" ht="15.75" customHeight="1">
      <c r="A31" s="7" t="s">
        <v>70</v>
      </c>
      <c r="B31" s="8">
        <v>1.0</v>
      </c>
      <c r="C31" s="8">
        <v>1.0</v>
      </c>
      <c r="D31" s="8">
        <v>1.0</v>
      </c>
      <c r="E31" s="8">
        <v>0.0</v>
      </c>
      <c r="F31" s="9">
        <v>1.0</v>
      </c>
      <c r="G31" s="8">
        <v>1.0</v>
      </c>
      <c r="H31" s="8">
        <v>0.0</v>
      </c>
      <c r="I31" s="8">
        <v>0.0</v>
      </c>
      <c r="J31" s="8">
        <v>0.0</v>
      </c>
      <c r="K31" s="9">
        <v>1.0</v>
      </c>
      <c r="L31" s="8">
        <f t="shared" si="1"/>
        <v>6</v>
      </c>
      <c r="M31" s="8">
        <v>25.2</v>
      </c>
      <c r="N31" s="10" t="s">
        <v>71</v>
      </c>
    </row>
    <row r="32" ht="15.75" customHeight="1">
      <c r="A32" s="3" t="s">
        <v>72</v>
      </c>
      <c r="B32" s="4">
        <v>1.0</v>
      </c>
      <c r="C32" s="4">
        <v>1.0</v>
      </c>
      <c r="D32" s="4">
        <v>1.0</v>
      </c>
      <c r="E32" s="4">
        <v>1.0</v>
      </c>
      <c r="F32" s="5">
        <v>1.0</v>
      </c>
      <c r="G32" s="4">
        <v>1.0</v>
      </c>
      <c r="H32" s="4">
        <v>0.0</v>
      </c>
      <c r="I32" s="4">
        <v>0.0</v>
      </c>
      <c r="J32" s="4">
        <v>0.0</v>
      </c>
      <c r="K32" s="5">
        <v>1.0</v>
      </c>
      <c r="L32" s="4">
        <f t="shared" si="1"/>
        <v>7</v>
      </c>
      <c r="M32" s="4">
        <v>20.2</v>
      </c>
      <c r="N32" s="6" t="s">
        <v>73</v>
      </c>
    </row>
    <row r="33" ht="15.75" customHeight="1">
      <c r="A33" s="3" t="s">
        <v>74</v>
      </c>
      <c r="B33" s="4">
        <v>1.0</v>
      </c>
      <c r="C33" s="4">
        <v>1.0</v>
      </c>
      <c r="D33" s="4">
        <v>1.0</v>
      </c>
      <c r="E33" s="4">
        <v>1.0</v>
      </c>
      <c r="F33" s="5">
        <v>1.0</v>
      </c>
      <c r="G33" s="4">
        <v>1.0</v>
      </c>
      <c r="H33" s="4">
        <v>0.0</v>
      </c>
      <c r="I33" s="4">
        <v>0.0</v>
      </c>
      <c r="J33" s="4">
        <v>0.0</v>
      </c>
      <c r="K33" s="5">
        <v>1.0</v>
      </c>
      <c r="L33" s="4">
        <f t="shared" si="1"/>
        <v>7</v>
      </c>
      <c r="M33" s="4">
        <v>30.0</v>
      </c>
      <c r="N33" s="6" t="s">
        <v>75</v>
      </c>
    </row>
    <row r="34" ht="15.75" customHeight="1">
      <c r="A34" s="3" t="s">
        <v>76</v>
      </c>
      <c r="B34" s="4">
        <v>1.0</v>
      </c>
      <c r="C34" s="4">
        <v>1.0</v>
      </c>
      <c r="D34" s="4">
        <v>1.0</v>
      </c>
      <c r="E34" s="4">
        <v>1.0</v>
      </c>
      <c r="F34" s="5">
        <v>0.0</v>
      </c>
      <c r="G34" s="4">
        <v>1.0</v>
      </c>
      <c r="H34" s="4">
        <v>0.0</v>
      </c>
      <c r="I34" s="4">
        <v>0.0</v>
      </c>
      <c r="J34" s="4">
        <v>0.0</v>
      </c>
      <c r="K34" s="5">
        <v>1.0</v>
      </c>
      <c r="L34" s="4">
        <f t="shared" si="1"/>
        <v>6</v>
      </c>
      <c r="M34" s="4">
        <v>25.2</v>
      </c>
      <c r="N34" s="6" t="s">
        <v>77</v>
      </c>
    </row>
    <row r="35" ht="15.75" customHeight="1">
      <c r="A35" s="3" t="s">
        <v>78</v>
      </c>
      <c r="B35" s="4">
        <v>1.0</v>
      </c>
      <c r="C35" s="4">
        <v>0.0</v>
      </c>
      <c r="D35" s="4">
        <v>1.0</v>
      </c>
      <c r="E35" s="4">
        <v>1.0</v>
      </c>
      <c r="F35" s="5">
        <v>0.0</v>
      </c>
      <c r="G35" s="4">
        <v>1.0</v>
      </c>
      <c r="H35" s="4">
        <v>0.0</v>
      </c>
      <c r="I35" s="4">
        <v>0.0</v>
      </c>
      <c r="J35" s="4">
        <v>0.0</v>
      </c>
      <c r="K35" s="5">
        <v>1.0</v>
      </c>
      <c r="L35" s="4">
        <f t="shared" si="1"/>
        <v>5</v>
      </c>
      <c r="M35" s="4">
        <v>30.0</v>
      </c>
      <c r="N35" s="6" t="s">
        <v>79</v>
      </c>
    </row>
    <row r="36" ht="15.75" customHeight="1">
      <c r="A36" s="7" t="s">
        <v>80</v>
      </c>
      <c r="B36" s="8">
        <v>1.0</v>
      </c>
      <c r="C36" s="8">
        <v>1.0</v>
      </c>
      <c r="D36" s="8">
        <v>1.0</v>
      </c>
      <c r="E36" s="8">
        <v>0.0</v>
      </c>
      <c r="F36" s="9">
        <v>1.0</v>
      </c>
      <c r="G36" s="8">
        <v>1.0</v>
      </c>
      <c r="H36" s="8">
        <v>0.0</v>
      </c>
      <c r="I36" s="8">
        <v>0.0</v>
      </c>
      <c r="J36" s="8">
        <v>0.0</v>
      </c>
      <c r="K36" s="9">
        <v>0.0</v>
      </c>
      <c r="L36" s="8">
        <f t="shared" si="1"/>
        <v>5</v>
      </c>
      <c r="M36" s="8">
        <v>10.2</v>
      </c>
      <c r="N36" s="10" t="s">
        <v>81</v>
      </c>
    </row>
    <row r="37" ht="15.75" customHeight="1">
      <c r="A37" s="3" t="s">
        <v>82</v>
      </c>
      <c r="B37" s="4">
        <v>1.0</v>
      </c>
      <c r="C37" s="4">
        <v>1.0</v>
      </c>
      <c r="D37" s="4">
        <v>1.0</v>
      </c>
      <c r="E37" s="4">
        <v>0.0</v>
      </c>
      <c r="F37" s="5">
        <v>1.0</v>
      </c>
      <c r="G37" s="4">
        <v>1.0</v>
      </c>
      <c r="H37" s="4">
        <v>0.0</v>
      </c>
      <c r="I37" s="4">
        <v>0.0</v>
      </c>
      <c r="J37" s="4">
        <v>0.0</v>
      </c>
      <c r="K37" s="5">
        <v>1.0</v>
      </c>
      <c r="L37" s="4">
        <f t="shared" si="1"/>
        <v>6</v>
      </c>
      <c r="M37" s="4">
        <v>30.0</v>
      </c>
      <c r="N37" s="6" t="s">
        <v>83</v>
      </c>
    </row>
    <row r="38" ht="15.75" customHeight="1"/>
    <row r="39" ht="15.75" customHeight="1">
      <c r="A39" s="6" t="s">
        <v>84</v>
      </c>
      <c r="B39" s="15">
        <f t="shared" ref="B39:K39" si="2">AVERAGE(B2:B37)</f>
        <v>1</v>
      </c>
      <c r="C39" s="15">
        <f t="shared" si="2"/>
        <v>0.9722222222</v>
      </c>
      <c r="D39" s="15">
        <f t="shared" si="2"/>
        <v>1</v>
      </c>
      <c r="E39" s="15">
        <f t="shared" si="2"/>
        <v>0.5</v>
      </c>
      <c r="F39" s="15">
        <f t="shared" si="2"/>
        <v>0.6111111111</v>
      </c>
      <c r="G39" s="15">
        <f t="shared" si="2"/>
        <v>0.7777777778</v>
      </c>
      <c r="H39" s="15">
        <f t="shared" si="2"/>
        <v>0.1944444444</v>
      </c>
      <c r="I39" s="15">
        <f t="shared" si="2"/>
        <v>0.08333333333</v>
      </c>
      <c r="J39" s="15">
        <f t="shared" si="2"/>
        <v>0.08333333333</v>
      </c>
      <c r="K39" s="15">
        <f t="shared" si="2"/>
        <v>0.6111111111</v>
      </c>
      <c r="L39" s="15" t="s">
        <v>85</v>
      </c>
      <c r="M39" s="15">
        <f>AVERAGE(M2:M37)</f>
        <v>24.68333333</v>
      </c>
    </row>
    <row r="40" ht="15.75" customHeight="1">
      <c r="L40" s="15" t="s">
        <v>86</v>
      </c>
      <c r="M40" s="15">
        <f>_xlfn.MODE.SNGL(M2:M37)</f>
        <v>30</v>
      </c>
    </row>
    <row r="41" ht="15.75" customHeight="1">
      <c r="L41" s="15" t="s">
        <v>87</v>
      </c>
      <c r="M41" s="15">
        <f>SUM(M2:M37)</f>
        <v>888.6</v>
      </c>
    </row>
    <row r="42" ht="15.75" customHeight="1">
      <c r="L42" s="15" t="s">
        <v>88</v>
      </c>
      <c r="M42" s="15">
        <f>M41*5</f>
        <v>4443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2026-03-10T11:02:30Z</dcterms:created>
  <dc:creator>Дмитрий</dc:creator>
</cp:coreProperties>
</file>